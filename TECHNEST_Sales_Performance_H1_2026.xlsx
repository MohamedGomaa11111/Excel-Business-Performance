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Performance" sheetId="2" state="visible" r:id="rId2"/>
    <sheet xmlns:r="http://schemas.openxmlformats.org/officeDocument/2006/relationships" name="Category &amp; Products" sheetId="3" state="visible" r:id="rId3"/>
    <sheet xmlns:r="http://schemas.openxmlformats.org/officeDocument/2006/relationships" name="DAX &amp; Visual Tech Spe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0F3A60"/>
      <sz val="16"/>
    </font>
    <font>
      <name val="Segoe UI"/>
      <i val="1"/>
      <color rgb="004B5563"/>
      <sz val="11"/>
    </font>
    <font>
      <name val="Segoe UI"/>
      <b val="1"/>
      <color rgb="004B5563"/>
      <sz val="10"/>
    </font>
    <font>
      <name val="Segoe UI"/>
      <b val="1"/>
      <color rgb="000F3A60"/>
      <sz val="18"/>
    </font>
    <font>
      <name val="Segoe UI"/>
      <b val="1"/>
      <color rgb="000F3A60"/>
      <sz val="13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F3A60"/>
      <sz val="12"/>
    </font>
    <font>
      <name val="Consolas"/>
      <b val="1"/>
      <color rgb="000F3A60"/>
      <sz val="10"/>
    </font>
  </fonts>
  <fills count="7">
    <fill>
      <patternFill/>
    </fill>
    <fill>
      <patternFill patternType="gray125"/>
    </fill>
    <fill>
      <patternFill patternType="solid">
        <fgColor rgb="00F4F7F9"/>
        <bgColor rgb="00F4F7F9"/>
      </patternFill>
    </fill>
    <fill>
      <patternFill patternType="solid">
        <fgColor rgb="000F3A60"/>
        <bgColor rgb="000F3A60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B6CA8"/>
        <bgColor rgb="001B6CA8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0F3A6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6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4" borderId="1" pivotButton="0" quotePrefix="0" xfId="0"/>
    <xf numFmtId="0" fontId="8" fillId="4" borderId="1" pivotButton="0" quotePrefix="0" xfId="0"/>
    <xf numFmtId="0" fontId="0" fillId="4" borderId="1" pivotButton="0" quotePrefix="0" xfId="0"/>
    <xf numFmtId="0" fontId="7" fillId="5" borderId="1" pivotButton="0" quotePrefix="0" xfId="0"/>
    <xf numFmtId="0" fontId="8" fillId="5" borderId="1" pivotButton="0" quotePrefix="0" xfId="0"/>
    <xf numFmtId="0" fontId="0" fillId="5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164" fontId="8" fillId="5" borderId="1" pivotButton="0" quotePrefix="0" xfId="0"/>
    <xf numFmtId="3" fontId="8" fillId="5" borderId="1" pivotButton="0" quotePrefix="0" xfId="0"/>
    <xf numFmtId="10" fontId="8" fillId="5" borderId="1" pivotButton="0" quotePrefix="0" xfId="0"/>
    <xf numFmtId="0" fontId="8" fillId="4" borderId="1" applyAlignment="1" pivotButton="0" quotePrefix="0" xfId="0">
      <alignment horizontal="center"/>
    </xf>
    <xf numFmtId="164" fontId="8" fillId="4" borderId="1" pivotButton="0" quotePrefix="0" xfId="0"/>
    <xf numFmtId="3" fontId="8" fillId="4" borderId="1" pivotButton="0" quotePrefix="0" xfId="0"/>
    <xf numFmtId="165" fontId="8" fillId="4" borderId="1" pivotButton="0" quotePrefix="0" xfId="0"/>
    <xf numFmtId="10" fontId="8" fillId="4" borderId="1" pivotButton="0" quotePrefix="0" xfId="0"/>
    <xf numFmtId="165" fontId="8" fillId="5" borderId="1" pivotButton="0" quotePrefix="0" xfId="0"/>
    <xf numFmtId="0" fontId="7" fillId="2" borderId="6" pivotButton="0" quotePrefix="0" xfId="0"/>
    <xf numFmtId="164" fontId="7" fillId="2" borderId="6" pivotButton="0" quotePrefix="0" xfId="0"/>
    <xf numFmtId="3" fontId="7" fillId="2" borderId="6" pivotButton="0" quotePrefix="0" xfId="0"/>
    <xf numFmtId="165" fontId="7" fillId="2" borderId="6" pivotButton="0" quotePrefix="0" xfId="0"/>
    <xf numFmtId="10" fontId="7" fillId="2" borderId="6" pivotButton="0" quotePrefix="0" xfId="0"/>
    <xf numFmtId="0" fontId="9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/>
    </xf>
    <xf numFmtId="0" fontId="8" fillId="5" borderId="1" applyAlignment="1" pivotButton="0" quotePrefix="0" xfId="0">
      <alignment horizontal="left"/>
    </xf>
    <xf numFmtId="0" fontId="7" fillId="2" borderId="6" applyAlignment="1" pivotButton="0" quotePrefix="0" xfId="0">
      <alignment horizontal="center"/>
    </xf>
    <xf numFmtId="0" fontId="10" fillId="4" borderId="1" pivotButton="0" quotePrefix="0" xfId="0"/>
    <xf numFmtId="0" fontId="10" fillId="5" borderId="1" pivotButton="0" quotePrefix="0" xfId="0"/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Performance'!D5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Performance'!$C$6:$C$11</f>
            </numRef>
          </cat>
          <val>
            <numRef>
              <f>'Monthly Performance'!$D$6:$D$11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Orders Volume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Performance'!E5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Performance'!$C$6:$C$11</f>
            </numRef>
          </cat>
          <val>
            <numRef>
              <f>'Monthly Performance'!$E$6:$E$11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&amp; Products'!C6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&amp; Products'!$B$7:$B$14</f>
            </numRef>
          </cat>
          <val>
            <numRef>
              <f>'Category &amp; Products'!$C$7:$C$14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Revenue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&amp; Products'!K6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&amp; Products'!$I$7:$I$11</f>
            </numRef>
          </cat>
          <val>
            <numRef>
              <f>'Category &amp; Products'!$K$7:$K$11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13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50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16</row>
      <rowOff>0</rowOff>
    </from>
    <ext cx="540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81" customWidth="1" min="3" max="3"/>
    <col width="16" customWidth="1" min="4" max="4"/>
    <col width="42" customWidth="1" min="5" max="5"/>
    <col width="126" customWidth="1" min="6" max="6"/>
    <col width="12" customWidth="1" min="7" max="7"/>
    <col width="21" customWidth="1" min="8" max="8"/>
    <col width="12" customWidth="1" min="9" max="9"/>
    <col width="21" customWidth="1" min="10" max="10"/>
    <col width="12" customWidth="1" min="11" max="11"/>
  </cols>
  <sheetData>
    <row r="1"/>
    <row r="2">
      <c r="B2" s="1" t="inlineStr">
        <is>
          <t>TECHNEST - Sales &amp; Performance Over (Jan - Jun 2026)</t>
        </is>
      </c>
    </row>
    <row r="3">
      <c r="B3" s="2" t="inlineStr">
        <is>
          <t>Executive Performance Overview &amp; Dashboard KPI Summary</t>
        </is>
      </c>
    </row>
    <row r="4"/>
    <row r="5">
      <c r="B5" s="3" t="inlineStr">
        <is>
          <t>Average Order Value</t>
        </is>
      </c>
      <c r="C5" s="4" t="n"/>
      <c r="D5" s="3" t="inlineStr">
        <is>
          <t>Total Orders</t>
        </is>
      </c>
      <c r="E5" s="4" t="n"/>
      <c r="F5" s="3" t="inlineStr">
        <is>
          <t>Total Revenue</t>
        </is>
      </c>
      <c r="G5" s="4" t="n"/>
      <c r="H5" s="3" t="inlineStr">
        <is>
          <t>Max Monthly Sales</t>
        </is>
      </c>
      <c r="I5" s="4" t="n"/>
      <c r="J5" s="3" t="inlineStr">
        <is>
          <t>Min Monthly Sales</t>
        </is>
      </c>
      <c r="K5" s="4" t="n"/>
    </row>
    <row r="6">
      <c r="B6" s="5" t="n">
        <v>134.12</v>
      </c>
      <c r="C6" s="4" t="n"/>
      <c r="D6" s="6" t="n">
        <v>3530</v>
      </c>
      <c r="E6" s="4" t="n"/>
      <c r="F6" s="5" t="n">
        <v>473180</v>
      </c>
      <c r="G6" s="4" t="n"/>
      <c r="H6" s="5" t="n">
        <v>102820</v>
      </c>
      <c r="I6" s="4" t="n"/>
      <c r="J6" s="5" t="n">
        <v>59790</v>
      </c>
      <c r="K6" s="4" t="n"/>
    </row>
    <row r="7"/>
    <row r="8"/>
    <row r="9">
      <c r="B9" s="7" t="inlineStr">
        <is>
          <t>Dashboard Architecture &amp; Project Details</t>
        </is>
      </c>
      <c r="E9" s="7" t="inlineStr">
        <is>
          <t>Strategic Executive Insights (H1 2026)</t>
        </is>
      </c>
    </row>
    <row r="10">
      <c r="B10" s="8" t="inlineStr">
        <is>
          <t>Specification Item</t>
        </is>
      </c>
      <c r="C10" s="8" t="inlineStr">
        <is>
          <t>Configuration &amp; Details</t>
        </is>
      </c>
      <c r="E10" s="9" t="inlineStr">
        <is>
          <t>Key Finding</t>
        </is>
      </c>
      <c r="F10" s="9" t="inlineStr">
        <is>
          <t>Performance Analysis &amp; Business Impact</t>
        </is>
      </c>
      <c r="G10" s="10" t="n"/>
      <c r="H10" s="10" t="n"/>
      <c r="I10" s="10" t="n"/>
      <c r="J10" s="10" t="n"/>
      <c r="K10" s="11" t="n"/>
    </row>
    <row r="11">
      <c r="B11" s="12" t="inlineStr">
        <is>
          <t>Dashboard Title</t>
        </is>
      </c>
      <c r="C11" s="13" t="inlineStr">
        <is>
          <t>TECHNEST - Sales &amp; Performance Over (Jan - Jun 2026)</t>
        </is>
      </c>
      <c r="E11" s="12" t="inlineStr">
        <is>
          <t>1. Peak Revenue Month</t>
        </is>
      </c>
      <c r="F11" s="13" t="inlineStr">
        <is>
          <t>May 2026 recorded the highest revenue ($105.00K) and highest order volume (766 orders), representing the peak season.</t>
        </is>
      </c>
      <c r="G11" s="14" t="n"/>
      <c r="H11" s="14" t="n"/>
      <c r="I11" s="14" t="n"/>
      <c r="J11" s="14" t="n"/>
      <c r="K11" s="14" t="n"/>
    </row>
    <row r="12">
      <c r="B12" s="15" t="inlineStr">
        <is>
          <t>Time Horizon</t>
        </is>
      </c>
      <c r="C12" s="16" t="inlineStr">
        <is>
          <t>January 1, 2026 – June 30, 2026 (H1 2026)</t>
        </is>
      </c>
      <c r="E12" s="15" t="inlineStr">
        <is>
          <t>2. Lowest Revenue Month</t>
        </is>
      </c>
      <c r="F12" s="16" t="inlineStr">
        <is>
          <t>January 2026 recorded the lowest revenue ($60.00K) and lowest volume (448 orders) during the post-holiday recovery period.</t>
        </is>
      </c>
      <c r="G12" s="17" t="n"/>
      <c r="H12" s="17" t="n"/>
      <c r="I12" s="17" t="n"/>
      <c r="J12" s="17" t="n"/>
      <c r="K12" s="17" t="n"/>
    </row>
    <row r="13">
      <c r="B13" s="12" t="inlineStr">
        <is>
          <t>Primary Data Source</t>
        </is>
      </c>
      <c r="C13" s="13" t="inlineStr">
        <is>
          <t>Raw Data Table (Orders, Transactions, Products, Categories, Dates)</t>
        </is>
      </c>
      <c r="E13" s="12" t="inlineStr">
        <is>
          <t>3. Dominant Category</t>
        </is>
      </c>
      <c r="F13" s="13" t="inlineStr">
        <is>
          <t>Accessories is the leading revenue driver contributing $107.28K (22.67%), followed closely by Audio at $99.44K (21.02%).</t>
        </is>
      </c>
      <c r="G13" s="14" t="n"/>
      <c r="H13" s="14" t="n"/>
      <c r="I13" s="14" t="n"/>
      <c r="J13" s="14" t="n"/>
      <c r="K13" s="14" t="n"/>
    </row>
    <row r="14">
      <c r="B14" s="15" t="inlineStr">
        <is>
          <t>Core DAX Calculations</t>
        </is>
      </c>
      <c r="C14" s="16" t="inlineStr">
        <is>
          <t>Total Revenue, Total Orders, Average Order Value, Min/Max Monthly Sales</t>
        </is>
      </c>
      <c r="E14" s="15" t="inlineStr">
        <is>
          <t>4. Top Performing Product</t>
        </is>
      </c>
      <c r="F14" s="16" t="inlineStr">
        <is>
          <t>Smartwatch X2 leads all individual products generating over $92K in gross revenue across the six-month period.</t>
        </is>
      </c>
      <c r="G14" s="17" t="n"/>
      <c r="H14" s="17" t="n"/>
      <c r="I14" s="17" t="n"/>
      <c r="J14" s="17" t="n"/>
      <c r="K14" s="17" t="n"/>
    </row>
    <row r="15">
      <c r="B15" s="12" t="inlineStr">
        <is>
          <t>Visual Architecture</t>
        </is>
      </c>
      <c r="C15" s="13" t="inlineStr">
        <is>
          <t>4 Core Visuals (Monthly Column, Category Donut, Top 5 Bar, Orders Line)</t>
        </is>
      </c>
      <c r="E15" s="12" t="inlineStr">
        <is>
          <t>5. Healthy Order Economics</t>
        </is>
      </c>
      <c r="F15" s="13" t="inlineStr">
        <is>
          <t>Average Order Value (AOV) remained robust at $134.12 across 3,530 total transactions.</t>
        </is>
      </c>
      <c r="G15" s="14" t="n"/>
      <c r="H15" s="14" t="n"/>
      <c r="I15" s="14" t="n"/>
      <c r="J15" s="14" t="n"/>
      <c r="K15" s="14" t="n"/>
    </row>
    <row r="16">
      <c r="B16" s="15" t="inlineStr">
        <is>
          <t>Color Theme</t>
        </is>
      </c>
      <c r="C16" s="16" t="inlineStr">
        <is>
          <t>TechNest Navy (#0F3A60), Ocean Blue (#1B6CA8), Teal (#38A3A5), Mint (#80ED99)</t>
        </is>
      </c>
    </row>
  </sheetData>
  <mergeCells count="6">
    <mergeCell ref="F11:K11"/>
    <mergeCell ref="F10:K10"/>
    <mergeCell ref="F14:K14"/>
    <mergeCell ref="F13:K13"/>
    <mergeCell ref="F12:K12"/>
    <mergeCell ref="F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1" customWidth="1" min="4" max="4"/>
    <col width="16" customWidth="1" min="5" max="5"/>
    <col width="27" customWidth="1" min="6" max="6"/>
    <col width="26" customWidth="1" min="7" max="7"/>
    <col width="25" customWidth="1" min="8" max="8"/>
    <col width="21" customWidth="1" min="9" max="9"/>
  </cols>
  <sheetData>
    <row r="1"/>
    <row r="2">
      <c r="B2" s="1" t="inlineStr">
        <is>
          <t>Monthly Performance Trend (Jan - Jun 2026)</t>
        </is>
      </c>
    </row>
    <row r="3">
      <c r="B3" s="2" t="inlineStr">
        <is>
          <t>Detailed Revenue, Order Volumes, AOV, and Growth Dynamics</t>
        </is>
      </c>
    </row>
    <row r="4"/>
    <row r="5">
      <c r="B5" s="18" t="inlineStr">
        <is>
          <t>Month No.</t>
        </is>
      </c>
      <c r="C5" s="18" t="inlineStr">
        <is>
          <t>Month Name</t>
        </is>
      </c>
      <c r="D5" s="18" t="inlineStr">
        <is>
          <t>Total Revenue ($)</t>
        </is>
      </c>
      <c r="E5" s="18" t="inlineStr">
        <is>
          <t>Total Orders</t>
        </is>
      </c>
      <c r="F5" s="18" t="inlineStr">
        <is>
          <t>Average Order Value ($)</t>
        </is>
      </c>
      <c r="G5" s="18" t="inlineStr">
        <is>
          <t>MoM Revenue Growth (%)</t>
        </is>
      </c>
      <c r="H5" s="18" t="inlineStr">
        <is>
          <t>MoM Orders Growth (%)</t>
        </is>
      </c>
      <c r="I5" s="18" t="inlineStr">
        <is>
          <t>Revenue Share (%)</t>
        </is>
      </c>
    </row>
    <row r="6">
      <c r="B6" s="19" t="n">
        <v>1</v>
      </c>
      <c r="C6" s="19" t="inlineStr">
        <is>
          <t>Jan</t>
        </is>
      </c>
      <c r="D6" s="20" t="n">
        <v>60000</v>
      </c>
      <c r="E6" s="21" t="n">
        <v>448</v>
      </c>
      <c r="F6" s="20">
        <f>D6/E6</f>
        <v/>
      </c>
      <c r="G6" s="16" t="inlineStr">
        <is>
          <t>-</t>
        </is>
      </c>
      <c r="H6" s="16" t="inlineStr">
        <is>
          <t>-</t>
        </is>
      </c>
      <c r="I6" s="22">
        <f>D6/$D$12</f>
        <v/>
      </c>
    </row>
    <row r="7">
      <c r="B7" s="23" t="n">
        <v>2</v>
      </c>
      <c r="C7" s="23" t="inlineStr">
        <is>
          <t>Feb</t>
        </is>
      </c>
      <c r="D7" s="24" t="n">
        <v>62000</v>
      </c>
      <c r="E7" s="25" t="n">
        <v>479</v>
      </c>
      <c r="F7" s="24">
        <f>D7/E7</f>
        <v/>
      </c>
      <c r="G7" s="26">
        <f>(D7-D6)/D6</f>
        <v/>
      </c>
      <c r="H7" s="26">
        <f>(E7-E6)/E6</f>
        <v/>
      </c>
      <c r="I7" s="27">
        <f>D7/$D$12</f>
        <v/>
      </c>
    </row>
    <row r="8">
      <c r="B8" s="19" t="n">
        <v>3</v>
      </c>
      <c r="C8" s="19" t="inlineStr">
        <is>
          <t>Mar</t>
        </is>
      </c>
      <c r="D8" s="20" t="n">
        <v>76000</v>
      </c>
      <c r="E8" s="21" t="n">
        <v>573</v>
      </c>
      <c r="F8" s="20">
        <f>D8/E8</f>
        <v/>
      </c>
      <c r="G8" s="28">
        <f>(D8-D7)/D7</f>
        <v/>
      </c>
      <c r="H8" s="28">
        <f>(E8-E7)/E7</f>
        <v/>
      </c>
      <c r="I8" s="22">
        <f>D8/$D$12</f>
        <v/>
      </c>
    </row>
    <row r="9">
      <c r="B9" s="23" t="n">
        <v>4</v>
      </c>
      <c r="C9" s="23" t="inlineStr">
        <is>
          <t>Apr</t>
        </is>
      </c>
      <c r="D9" s="24" t="n">
        <v>92000</v>
      </c>
      <c r="E9" s="25" t="n">
        <v>677</v>
      </c>
      <c r="F9" s="24">
        <f>D9/E9</f>
        <v/>
      </c>
      <c r="G9" s="26">
        <f>(D9-D8)/D8</f>
        <v/>
      </c>
      <c r="H9" s="26">
        <f>(E9-E8)/E8</f>
        <v/>
      </c>
      <c r="I9" s="27">
        <f>D9/$D$12</f>
        <v/>
      </c>
    </row>
    <row r="10">
      <c r="B10" s="19" t="n">
        <v>5</v>
      </c>
      <c r="C10" s="19" t="inlineStr">
        <is>
          <t>May</t>
        </is>
      </c>
      <c r="D10" s="20" t="n">
        <v>104784.51</v>
      </c>
      <c r="E10" s="21" t="n">
        <v>763</v>
      </c>
      <c r="F10" s="20">
        <f>D10/E10</f>
        <v/>
      </c>
      <c r="G10" s="28">
        <f>(D10-D9)/D9</f>
        <v/>
      </c>
      <c r="H10" s="28">
        <f>(E10-E9)/E9</f>
        <v/>
      </c>
      <c r="I10" s="22">
        <f>D10/$D$12</f>
        <v/>
      </c>
    </row>
    <row r="11">
      <c r="B11" s="23" t="n">
        <v>6</v>
      </c>
      <c r="C11" s="23" t="inlineStr">
        <is>
          <t>Jun</t>
        </is>
      </c>
      <c r="D11" s="24" t="n">
        <v>78395.49000000001</v>
      </c>
      <c r="E11" s="25" t="n">
        <v>590</v>
      </c>
      <c r="F11" s="24">
        <f>D11/E11</f>
        <v/>
      </c>
      <c r="G11" s="26">
        <f>(D11-D10)/D10</f>
        <v/>
      </c>
      <c r="H11" s="26">
        <f>(E11-E10)/E10</f>
        <v/>
      </c>
      <c r="I11" s="27">
        <f>D11/$D$12</f>
        <v/>
      </c>
    </row>
    <row r="12">
      <c r="B12" s="29" t="inlineStr">
        <is>
          <t>Total / Avg</t>
        </is>
      </c>
      <c r="C12" s="29" t="inlineStr">
        <is>
          <t>H1 2026</t>
        </is>
      </c>
      <c r="D12" s="30">
        <f>SUM(D6:D11)</f>
        <v/>
      </c>
      <c r="E12" s="31">
        <f>SUM(E6:E11)</f>
        <v/>
      </c>
      <c r="F12" s="30">
        <f>D12/E12</f>
        <v/>
      </c>
      <c r="G12" s="32">
        <f>(D11-D6)/D6</f>
        <v/>
      </c>
      <c r="H12" s="32">
        <f>(E11-E6)/E6</f>
        <v/>
      </c>
      <c r="I12" s="33">
        <f>SUM(I6:I11)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21" customWidth="1" min="3" max="3"/>
    <col width="21" customWidth="1" min="4" max="4"/>
    <col width="27" customWidth="1" min="5" max="5"/>
    <col width="12" customWidth="1" min="6" max="6"/>
    <col width="12" customWidth="1" min="7" max="7"/>
    <col width="59" customWidth="1" min="8" max="8"/>
    <col width="24" customWidth="1" min="9" max="9"/>
    <col width="18" customWidth="1" min="10" max="10"/>
    <col width="21" customWidth="1" min="11" max="11"/>
    <col width="29" customWidth="1" min="12" max="12"/>
  </cols>
  <sheetData>
    <row r="1"/>
    <row r="2">
      <c r="B2" s="1" t="inlineStr">
        <is>
          <t>Product Categories &amp; Top Sellers Analysis</t>
        </is>
      </c>
    </row>
    <row r="3">
      <c r="B3" s="2" t="inlineStr">
        <is>
          <t>Category Distribution, Revenue Contribution, and Top 5 Product Leaders</t>
        </is>
      </c>
    </row>
    <row r="4"/>
    <row r="5">
      <c r="B5" s="34" t="inlineStr">
        <is>
          <t>Category Revenue Distribution (Donut Chart Source)</t>
        </is>
      </c>
      <c r="H5" s="34" t="inlineStr">
        <is>
          <t>Top 5 Performing Products (Horizontal Bar Chart Source)</t>
        </is>
      </c>
    </row>
    <row r="6">
      <c r="B6" s="18" t="inlineStr">
        <is>
          <t>Category</t>
        </is>
      </c>
      <c r="C6" s="18" t="inlineStr">
        <is>
          <t>Total Revenue ($)</t>
        </is>
      </c>
      <c r="D6" s="18" t="inlineStr">
        <is>
          <t>Revenue Share (%)</t>
        </is>
      </c>
      <c r="E6" s="18" t="inlineStr">
        <is>
          <t>Assigned Palette Color</t>
        </is>
      </c>
      <c r="F6" s="18" t="inlineStr">
        <is>
          <t>Hex Code</t>
        </is>
      </c>
      <c r="H6" s="35" t="inlineStr">
        <is>
          <t>Rank</t>
        </is>
      </c>
      <c r="I6" s="35" t="inlineStr">
        <is>
          <t>Product Name</t>
        </is>
      </c>
      <c r="J6" s="35" t="inlineStr">
        <is>
          <t>Category</t>
        </is>
      </c>
      <c r="K6" s="35" t="inlineStr">
        <is>
          <t>Total Revenue ($)</t>
        </is>
      </c>
      <c r="L6" s="35" t="inlineStr">
        <is>
          <t>Contribution to Top 5 (%)</t>
        </is>
      </c>
    </row>
    <row r="7">
      <c r="B7" s="36" t="inlineStr">
        <is>
          <t>Accessories</t>
        </is>
      </c>
      <c r="C7" s="24" t="n">
        <v>107280</v>
      </c>
      <c r="D7" s="27">
        <f>C7/$C$15</f>
        <v/>
      </c>
      <c r="E7" s="13" t="inlineStr">
        <is>
          <t>Dark Navy (Primary)</t>
        </is>
      </c>
      <c r="F7" s="13" t="inlineStr">
        <is>
          <t>#0F3A60</t>
        </is>
      </c>
      <c r="H7" s="23" t="n">
        <v>1</v>
      </c>
      <c r="I7" s="36" t="inlineStr">
        <is>
          <t>Smartwatch X2</t>
        </is>
      </c>
      <c r="J7" s="36" t="inlineStr">
        <is>
          <t>Wearables</t>
        </is>
      </c>
      <c r="K7" s="24" t="n">
        <v>92000</v>
      </c>
      <c r="L7" s="27">
        <f>K7/$K$12</f>
        <v/>
      </c>
    </row>
    <row r="8">
      <c r="B8" s="37" t="inlineStr">
        <is>
          <t>Audio</t>
        </is>
      </c>
      <c r="C8" s="20" t="n">
        <v>99440</v>
      </c>
      <c r="D8" s="22">
        <f>C8/$C$15</f>
        <v/>
      </c>
      <c r="E8" s="16" t="inlineStr">
        <is>
          <t>Ocean Blue</t>
        </is>
      </c>
      <c r="F8" s="16" t="inlineStr">
        <is>
          <t>#1B6CA8</t>
        </is>
      </c>
      <c r="H8" s="19" t="n">
        <v>2</v>
      </c>
      <c r="I8" s="37" t="inlineStr">
        <is>
          <t>Wireless Earbuds Pro</t>
        </is>
      </c>
      <c r="J8" s="37" t="inlineStr">
        <is>
          <t>Audio</t>
        </is>
      </c>
      <c r="K8" s="20" t="n">
        <v>64000</v>
      </c>
      <c r="L8" s="22">
        <f>K8/$K$12</f>
        <v/>
      </c>
    </row>
    <row r="9">
      <c r="B9" s="36" t="inlineStr">
        <is>
          <t>Wearables</t>
        </is>
      </c>
      <c r="C9" s="24" t="n">
        <v>91990</v>
      </c>
      <c r="D9" s="27">
        <f>C9/$C$15</f>
        <v/>
      </c>
      <c r="E9" s="13" t="inlineStr">
        <is>
          <t>TechNest Teal</t>
        </is>
      </c>
      <c r="F9" s="13" t="inlineStr">
        <is>
          <t>#38A3A5</t>
        </is>
      </c>
      <c r="H9" s="23" t="n">
        <v>3</v>
      </c>
      <c r="I9" s="36" t="inlineStr">
        <is>
          <t>Mechanical Keyboard</t>
        </is>
      </c>
      <c r="J9" s="36" t="inlineStr">
        <is>
          <t>Accessories</t>
        </is>
      </c>
      <c r="K9" s="24" t="n">
        <v>51000</v>
      </c>
      <c r="L9" s="27">
        <f>K9/$K$12</f>
        <v/>
      </c>
    </row>
    <row r="10">
      <c r="B10" s="37" t="inlineStr">
        <is>
          <t>Storage</t>
        </is>
      </c>
      <c r="C10" s="20" t="n">
        <v>51000</v>
      </c>
      <c r="D10" s="22">
        <f>C10/$C$15</f>
        <v/>
      </c>
      <c r="E10" s="16" t="inlineStr">
        <is>
          <t>Light Mint</t>
        </is>
      </c>
      <c r="F10" s="16" t="inlineStr">
        <is>
          <t>#57CC99</t>
        </is>
      </c>
      <c r="H10" s="19" t="n">
        <v>4</v>
      </c>
      <c r="I10" s="37" t="inlineStr">
        <is>
          <t>Portable SSD 1TB</t>
        </is>
      </c>
      <c r="J10" s="37" t="inlineStr">
        <is>
          <t>Storage</t>
        </is>
      </c>
      <c r="K10" s="20" t="n">
        <v>51000</v>
      </c>
      <c r="L10" s="22">
        <f>K10/$K$12</f>
        <v/>
      </c>
    </row>
    <row r="11">
      <c r="B11" s="36" t="inlineStr">
        <is>
          <t>Gaming</t>
        </is>
      </c>
      <c r="C11" s="24" t="n">
        <v>46610</v>
      </c>
      <c r="D11" s="27">
        <f>C11/$C$15</f>
        <v/>
      </c>
      <c r="E11" s="13" t="inlineStr">
        <is>
          <t>Soft Sky Blue</t>
        </is>
      </c>
      <c r="F11" s="13" t="inlineStr">
        <is>
          <t>#90E0EF</t>
        </is>
      </c>
      <c r="H11" s="23" t="n">
        <v>5</v>
      </c>
      <c r="I11" s="36" t="inlineStr">
        <is>
          <t>Gaming Headset</t>
        </is>
      </c>
      <c r="J11" s="36" t="inlineStr">
        <is>
          <t>Gaming</t>
        </is>
      </c>
      <c r="K11" s="24" t="n">
        <v>47000</v>
      </c>
      <c r="L11" s="27">
        <f>K11/$K$12</f>
        <v/>
      </c>
    </row>
    <row r="12">
      <c r="B12" s="37" t="inlineStr">
        <is>
          <t>Computer</t>
        </is>
      </c>
      <c r="C12" s="20" t="n">
        <v>39810</v>
      </c>
      <c r="D12" s="22">
        <f>C12/$C$15</f>
        <v/>
      </c>
      <c r="E12" s="16" t="inlineStr">
        <is>
          <t>Muted Slate Gray</t>
        </is>
      </c>
      <c r="F12" s="16" t="inlineStr">
        <is>
          <t>#CBD5E1</t>
        </is>
      </c>
      <c r="H12" s="38" t="inlineStr">
        <is>
          <t>-</t>
        </is>
      </c>
      <c r="I12" s="29" t="inlineStr">
        <is>
          <t>Top 5 Total</t>
        </is>
      </c>
      <c r="J12" s="29" t="inlineStr">
        <is>
          <t>Multi-Category</t>
        </is>
      </c>
      <c r="K12" s="30">
        <f>SUM(K7:K11)</f>
        <v/>
      </c>
      <c r="L12" s="33">
        <f>SUM(L7:L11)</f>
        <v/>
      </c>
    </row>
    <row r="13">
      <c r="B13" s="36" t="inlineStr">
        <is>
          <t>Mobile</t>
        </is>
      </c>
      <c r="C13" s="24" t="n">
        <v>27750</v>
      </c>
      <c r="D13" s="27">
        <f>C13/$C$15</f>
        <v/>
      </c>
      <c r="E13" s="13" t="inlineStr">
        <is>
          <t>Indigo Blue</t>
        </is>
      </c>
      <c r="F13" s="13" t="inlineStr">
        <is>
          <t>#22577A</t>
        </is>
      </c>
    </row>
    <row r="14">
      <c r="B14" s="37" t="inlineStr">
        <is>
          <t>Smart Home</t>
        </is>
      </c>
      <c r="C14" s="20" t="n">
        <v>9300</v>
      </c>
      <c r="D14" s="22">
        <f>C14/$C$15</f>
        <v/>
      </c>
      <c r="E14" s="16" t="inlineStr">
        <is>
          <t>Mint Green</t>
        </is>
      </c>
      <c r="F14" s="16" t="inlineStr">
        <is>
          <t>#80ED99</t>
        </is>
      </c>
    </row>
    <row r="15">
      <c r="B15" s="29" t="inlineStr">
        <is>
          <t>Total Revenue</t>
        </is>
      </c>
      <c r="C15" s="30">
        <f>SUM(C7:C14)</f>
        <v/>
      </c>
      <c r="D15" s="33">
        <f>SUM(D7:D14)</f>
        <v/>
      </c>
      <c r="E15" s="29" t="inlineStr">
        <is>
          <t>All Categories Included</t>
        </is>
      </c>
      <c r="F15" s="38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3" customWidth="1" min="2" max="2"/>
    <col width="56" customWidth="1" min="3" max="3"/>
    <col width="48" customWidth="1" min="4" max="4"/>
    <col width="94" customWidth="1" min="5" max="5"/>
  </cols>
  <sheetData>
    <row r="1"/>
    <row r="2">
      <c r="B2" s="1" t="inlineStr">
        <is>
          <t>Power BI DAX Measures &amp; Technical Architecture</t>
        </is>
      </c>
    </row>
    <row r="3">
      <c r="B3" s="2" t="inlineStr">
        <is>
          <t>Complete DAX Formulations, Visual Configuration, and Formatting Rules</t>
        </is>
      </c>
    </row>
    <row r="4"/>
    <row r="5">
      <c r="B5" s="34" t="inlineStr">
        <is>
          <t>DAX Measures Defined in _Measures_tables</t>
        </is>
      </c>
    </row>
    <row r="6">
      <c r="B6" s="8" t="inlineStr">
        <is>
          <t>Measure Name</t>
        </is>
      </c>
      <c r="C6" s="8" t="inlineStr">
        <is>
          <t>DAX Formula</t>
        </is>
      </c>
      <c r="D6" s="8" t="inlineStr">
        <is>
          <t>Return Type / Format</t>
        </is>
      </c>
      <c r="E6" s="8" t="inlineStr">
        <is>
          <t>Business Purpose &amp; Visual Use</t>
        </is>
      </c>
    </row>
    <row r="7">
      <c r="B7" s="12" t="inlineStr">
        <is>
          <t>Total Revenue</t>
        </is>
      </c>
      <c r="C7" s="39" t="inlineStr">
        <is>
          <t>SUM(Raw_Data[Revenue])</t>
        </is>
      </c>
      <c r="D7" s="13" t="inlineStr">
        <is>
          <t>Currency ($)</t>
        </is>
      </c>
      <c r="E7" s="13" t="inlineStr">
        <is>
          <t>Calculates total gross sales across selected filters. Used in all revenue visuals.</t>
        </is>
      </c>
    </row>
    <row r="8">
      <c r="B8" s="15" t="inlineStr">
        <is>
          <t>Total Orders</t>
        </is>
      </c>
      <c r="C8" s="40" t="inlineStr">
        <is>
          <t>DISTINCTCOUNT(Raw_Data[Order_ID])</t>
        </is>
      </c>
      <c r="D8" s="16" t="inlineStr">
        <is>
          <t>Integer (#,##0)</t>
        </is>
      </c>
      <c r="E8" s="16" t="inlineStr">
        <is>
          <t>Counts unique transactions. Used in KPI card and monthly orders line chart.</t>
        </is>
      </c>
    </row>
    <row r="9">
      <c r="B9" s="12" t="inlineStr">
        <is>
          <t>Average Order Value</t>
        </is>
      </c>
      <c r="C9" s="39" t="inlineStr">
        <is>
          <t>DIVIDE([Total Revenue], [Total Orders], 0)</t>
        </is>
      </c>
      <c r="D9" s="13" t="inlineStr">
        <is>
          <t>Currency ($)</t>
        </is>
      </c>
      <c r="E9" s="13" t="inlineStr">
        <is>
          <t>Measures average basket size per transaction with safe divide zero handling.</t>
        </is>
      </c>
    </row>
    <row r="10">
      <c r="B10" s="15" t="inlineStr">
        <is>
          <t>Max Monthly Sales</t>
        </is>
      </c>
      <c r="C10" s="40" t="inlineStr">
        <is>
          <t>MAXX(VALUES('Raw Data'[Month_num]), [Total Revenue])</t>
        </is>
      </c>
      <c r="D10" s="16" t="inlineStr">
        <is>
          <t>Currency ($)</t>
        </is>
      </c>
      <c r="E10" s="16" t="inlineStr">
        <is>
          <t>Identifies the highest single-month revenue achieved ($102.82K).</t>
        </is>
      </c>
    </row>
    <row r="11">
      <c r="B11" s="12" t="inlineStr">
        <is>
          <t>Min Monthly Sales</t>
        </is>
      </c>
      <c r="C11" s="39" t="inlineStr">
        <is>
          <t>MINX(VALUES('Raw Data'[Month_num]), [Total Revenue])</t>
        </is>
      </c>
      <c r="D11" s="13" t="inlineStr">
        <is>
          <t>Currency ($)</t>
        </is>
      </c>
      <c r="E11" s="13" t="inlineStr">
        <is>
          <t>Identifies the lowest single-month revenue achieved ($59.79K).</t>
        </is>
      </c>
    </row>
    <row r="12">
      <c r="B12" s="15" t="inlineStr">
        <is>
          <t>Total Units Sold</t>
        </is>
      </c>
      <c r="C12" s="40" t="inlineStr">
        <is>
          <t>SUM(Raw_Data[Quantity])</t>
        </is>
      </c>
      <c r="D12" s="16" t="inlineStr">
        <is>
          <t>Integer (#,##0)</t>
        </is>
      </c>
      <c r="E12" s="16" t="inlineStr">
        <is>
          <t>Aggregates total physical units delivered across all orders.</t>
        </is>
      </c>
    </row>
    <row r="13"/>
    <row r="14"/>
    <row r="15">
      <c r="B15" s="34" t="inlineStr">
        <is>
          <t>Power BI Dashboard Visual Layout &amp; Formatting Rules Applied</t>
        </is>
      </c>
    </row>
    <row r="16">
      <c r="B16" s="41" t="inlineStr">
        <is>
          <t>Visual Position</t>
        </is>
      </c>
      <c r="C16" s="41" t="inlineStr">
        <is>
          <t>Visual Type</t>
        </is>
      </c>
      <c r="D16" s="41" t="inlineStr">
        <is>
          <t>Fields Configured</t>
        </is>
      </c>
      <c r="E16" s="41" t="inlineStr">
        <is>
          <t>Key Formatting &amp; Properties Applied</t>
        </is>
      </c>
    </row>
    <row r="17">
      <c r="B17" s="12" t="inlineStr">
        <is>
          <t>Header Top-Right</t>
        </is>
      </c>
      <c r="C17" s="12" t="inlineStr">
        <is>
          <t>Slicer (Dropdown)</t>
        </is>
      </c>
      <c r="D17" s="13" t="inlineStr">
        <is>
          <t>Field: Month_Name_EN</t>
        </is>
      </c>
      <c r="E17" s="13" t="inlineStr">
        <is>
          <t>Header: Off, Background: Transparent, Values Font: White, Style: Dropdown</t>
        </is>
      </c>
    </row>
    <row r="18">
      <c r="B18" s="15" t="inlineStr">
        <is>
          <t>Top KPI Cards</t>
        </is>
      </c>
      <c r="C18" s="15" t="inlineStr">
        <is>
          <t>Card Visuals (Multi-row)</t>
        </is>
      </c>
      <c r="D18" s="16" t="inlineStr">
        <is>
          <t>AOV, Orders, Revenue, Max, Min</t>
        </is>
      </c>
      <c r="E18" s="16" t="inlineStr">
        <is>
          <t>Callout Color: #0F3A60 Bold, Currency Formatting ($), Transparent Background</t>
        </is>
      </c>
    </row>
    <row r="19">
      <c r="B19" s="12" t="inlineStr">
        <is>
          <t>Top-Left Container</t>
        </is>
      </c>
      <c r="C19" s="12" t="inlineStr">
        <is>
          <t>Clustered Column Chart</t>
        </is>
      </c>
      <c r="D19" s="13" t="inlineStr">
        <is>
          <t>X-axis: Month_Name_EN, Y-axis: Total Revenue</t>
        </is>
      </c>
      <c r="E19" s="13" t="inlineStr">
        <is>
          <t>Column Color: Navy (#0F3A60), Data Labels: On, X/Y Titles: Off, Transparent BG</t>
        </is>
      </c>
    </row>
    <row r="20">
      <c r="B20" s="15" t="inlineStr">
        <is>
          <t>Top-Right Container</t>
        </is>
      </c>
      <c r="C20" s="15" t="inlineStr">
        <is>
          <t>Donut Chart</t>
        </is>
      </c>
      <c r="D20" s="16" t="inlineStr">
        <is>
          <t>Legend: Category, Values: Total Revenue</t>
        </is>
      </c>
      <c r="E20" s="16" t="inlineStr">
        <is>
          <t>Detail Labels: Category &amp; % of total, Custom Category Palette, Legend: Off, Transparent BG</t>
        </is>
      </c>
    </row>
    <row r="21">
      <c r="B21" s="12" t="inlineStr">
        <is>
          <t>Bottom-Left Container</t>
        </is>
      </c>
      <c r="C21" s="12" t="inlineStr">
        <is>
          <t>Clustered Bar Chart</t>
        </is>
      </c>
      <c r="D21" s="13" t="inlineStr">
        <is>
          <t>Y-axis: Product, X-axis: Total Revenue</t>
        </is>
      </c>
      <c r="E21" s="13" t="inlineStr">
        <is>
          <t>Filter: Top 5 by Total Revenue, Bar Color: Navy, Data Labels: On, Y-Title: Off</t>
        </is>
      </c>
    </row>
    <row r="22">
      <c r="B22" s="15" t="inlineStr">
        <is>
          <t>Bottom-Right Container</t>
        </is>
      </c>
      <c r="C22" s="15" t="inlineStr">
        <is>
          <t>Line Chart</t>
        </is>
      </c>
      <c r="D22" s="16" t="inlineStr">
        <is>
          <t>X-axis: Month_Name_EN, Y-axis: Total Orders</t>
        </is>
      </c>
      <c r="E22" s="16" t="inlineStr">
        <is>
          <t>Line Color: Tech Teal (#38A3A5), Markers: On, Data Labels: On, Axis Titles: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2026-08-26T19:04:05Z</dcterms:created>
  <dcterms:modified xmlns:dcterms="http://purl.org/dc/terms/" xmlns:xsi="http://www.w3.org/2001/XMLSchema-instance" xsi:type="dcterms:W3CDTF">2026-08-26T19:04:05Z</dcterms:modified>
</cp:coreProperties>
</file>